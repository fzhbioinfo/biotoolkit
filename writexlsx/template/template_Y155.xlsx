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6"/>
  </bookViews>
  <sheets>
    <sheet name="All variants data" sheetId="1" r:id="rId1"/>
    <sheet name="CNV" sheetId="2" r:id="rId2"/>
    <sheet name="补充实验" sheetId="4" r:id="rId3"/>
    <sheet name="QC" sheetId="5" r:id="rId4"/>
    <sheet name="样本信息" sheetId="6" r:id="rId5"/>
    <sheet name="bam文件路径" sheetId="7" r:id="rId6"/>
    <sheet name="任务单" sheetId="8" r:id="rId7"/>
  </sheets>
  <calcPr calcId="144525"/>
</workbook>
</file>

<file path=xl/sharedStrings.xml><?xml version="1.0" encoding="utf-8"?>
<sst xmlns="http://schemas.openxmlformats.org/spreadsheetml/2006/main" count="225" uniqueCount="196">
  <si>
    <t>期数</t>
  </si>
  <si>
    <t>flow ID</t>
  </si>
  <si>
    <t>产品编码_产品名称</t>
  </si>
  <si>
    <t>SampleID</t>
  </si>
  <si>
    <t>Sex</t>
  </si>
  <si>
    <t>#Chr</t>
  </si>
  <si>
    <t>Start</t>
  </si>
  <si>
    <t>Stop</t>
  </si>
  <si>
    <t>A.Depth</t>
  </si>
  <si>
    <t>A.Ratio</t>
  </si>
  <si>
    <t>reads_picture</t>
  </si>
  <si>
    <t>A.Index</t>
  </si>
  <si>
    <t>RepeatTag</t>
  </si>
  <si>
    <t>Filter</t>
  </si>
  <si>
    <t>MIM Gene ID</t>
  </si>
  <si>
    <t>MIM Pheno IDs</t>
  </si>
  <si>
    <t>MIM Inheritance</t>
  </si>
  <si>
    <t>TestCode</t>
  </si>
  <si>
    <t>Gene Symbol</t>
  </si>
  <si>
    <t>Transcript</t>
  </si>
  <si>
    <t>cHGVS</t>
  </si>
  <si>
    <t>pHGVS</t>
  </si>
  <si>
    <t>ExIn_ID</t>
  </si>
  <si>
    <t>Zygosity</t>
  </si>
  <si>
    <t>Flank</t>
  </si>
  <si>
    <t>FuncRegion</t>
  </si>
  <si>
    <t>Function</t>
  </si>
  <si>
    <t>Protein</t>
  </si>
  <si>
    <t>Strand</t>
  </si>
  <si>
    <t>CodonChange</t>
  </si>
  <si>
    <t>PolarChange</t>
  </si>
  <si>
    <t>MutationName</t>
  </si>
  <si>
    <t>dbSNP Allele Freq</t>
  </si>
  <si>
    <t>1000Gp3 AF</t>
  </si>
  <si>
    <t>1000Gp3 EAS AF</t>
  </si>
  <si>
    <t>GnomAD EAS HomoAlt Count</t>
  </si>
  <si>
    <t>GnomAD EAS AF</t>
  </si>
  <si>
    <t>GnomAD HomoAlt Count</t>
  </si>
  <si>
    <t>GnomAD AF</t>
  </si>
  <si>
    <t>ESP6500 AF</t>
  </si>
  <si>
    <t>ExAC EAS HomoAlt Count</t>
  </si>
  <si>
    <t>ExAC EAS AF</t>
  </si>
  <si>
    <t>ExAC HomoAlt Count</t>
  </si>
  <si>
    <t>ExAC AF</t>
  </si>
  <si>
    <t>rsID</t>
  </si>
  <si>
    <t>PVFD Homo Count</t>
  </si>
  <si>
    <t>PVFD Homo Frequency</t>
  </si>
  <si>
    <t>PVFD AF</t>
  </si>
  <si>
    <t>PVFD AF等级</t>
  </si>
  <si>
    <t>Panel AlleleFreq</t>
  </si>
  <si>
    <t>Panel Pred</t>
  </si>
  <si>
    <t>HGMD MutName</t>
  </si>
  <si>
    <t>HGMD Disease</t>
  </si>
  <si>
    <t>HGMD pmID</t>
  </si>
  <si>
    <t>HGMD Pred</t>
  </si>
  <si>
    <t>LOF</t>
  </si>
  <si>
    <t>Database</t>
  </si>
  <si>
    <t>报告类别</t>
  </si>
  <si>
    <t>gene+cHGVS</t>
  </si>
  <si>
    <t>gene+pHGVS3</t>
  </si>
  <si>
    <t>gene+pHGVS1</t>
  </si>
  <si>
    <t>引物设计</t>
  </si>
  <si>
    <t>备注</t>
  </si>
  <si>
    <t>Inheritance</t>
  </si>
  <si>
    <t>突变类型</t>
  </si>
  <si>
    <t>PP_disGroup</t>
  </si>
  <si>
    <t>Chinese disease name</t>
  </si>
  <si>
    <t>Chinese disease introduction</t>
  </si>
  <si>
    <t>Chinese mutation information</t>
  </si>
  <si>
    <t>English disease name</t>
  </si>
  <si>
    <t>English disease introduction</t>
  </si>
  <si>
    <t>English mutation information</t>
  </si>
  <si>
    <t>Reference-final-Info</t>
  </si>
  <si>
    <t>Evidence New + Check</t>
  </si>
  <si>
    <t>解读人</t>
  </si>
  <si>
    <t>解读日期</t>
  </si>
  <si>
    <t>审核人</t>
  </si>
  <si>
    <t>报告期限</t>
  </si>
  <si>
    <t>是否有修改</t>
  </si>
  <si>
    <t>是否是库内位点</t>
  </si>
  <si>
    <t>入库时间</t>
  </si>
  <si>
    <t>同一坐标变异</t>
  </si>
  <si>
    <t>地贫通用名</t>
  </si>
  <si>
    <t>pre_class</t>
  </si>
  <si>
    <t>pre_pro</t>
  </si>
  <si>
    <t>需验证的变异</t>
  </si>
  <si>
    <t>是否国内（际）包装变异</t>
  </si>
  <si>
    <t>autoRuleName</t>
  </si>
  <si>
    <t>自动化判断</t>
  </si>
  <si>
    <t>遗传相符</t>
  </si>
  <si>
    <t>烈性突变</t>
  </si>
  <si>
    <t>突变频谱</t>
  </si>
  <si>
    <t>SpliceAI</t>
  </si>
  <si>
    <t>SpliceAI Pred</t>
  </si>
  <si>
    <t>AutoPVS1 Strength</t>
  </si>
  <si>
    <t>AutoPVS1 Adjusted Strength</t>
  </si>
  <si>
    <t>AutoPVS1 Criterion</t>
  </si>
  <si>
    <t>pre_quality</t>
  </si>
  <si>
    <t>gender</t>
  </si>
  <si>
    <t>chr</t>
  </si>
  <si>
    <t>gene</t>
  </si>
  <si>
    <t>NM</t>
  </si>
  <si>
    <t>exon</t>
  </si>
  <si>
    <t>depth</t>
  </si>
  <si>
    <t>batch_control</t>
  </si>
  <si>
    <t>all_control</t>
  </si>
  <si>
    <t>Mean_Ratio</t>
  </si>
  <si>
    <t>Median_Ratio</t>
  </si>
  <si>
    <t>OMIM</t>
  </si>
  <si>
    <t>Significant</t>
  </si>
  <si>
    <t>primerDesign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</si>
  <si>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</si>
  <si>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</si>
  <si>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</si>
  <si>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</si>
  <si>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</si>
  <si>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</si>
  <si>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</si>
  <si>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</si>
  <si>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</si>
  <si>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</si>
  <si>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</si>
  <si>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核苷酸变化</t>
  </si>
  <si>
    <t>杂合性</t>
  </si>
  <si>
    <t>disGroup</t>
  </si>
  <si>
    <t>疾病中文名</t>
  </si>
  <si>
    <t>中文-疾病背景</t>
  </si>
  <si>
    <t>中文-突变详情</t>
  </si>
  <si>
    <t>Disease</t>
  </si>
  <si>
    <t>英文-疾病背景</t>
  </si>
  <si>
    <t>英文-突变详情</t>
  </si>
  <si>
    <t>参考文献</t>
  </si>
  <si>
    <t>遗传模式</t>
  </si>
  <si>
    <t>sex</t>
  </si>
  <si>
    <t>QC</t>
  </si>
  <si>
    <t>Chr</t>
  </si>
  <si>
    <t>疾病名称</t>
  </si>
  <si>
    <t>基因</t>
  </si>
  <si>
    <t>转录本</t>
  </si>
  <si>
    <t>图片链接</t>
  </si>
  <si>
    <t>NGS自动化结果</t>
  </si>
  <si>
    <t>最终结果</t>
  </si>
  <si>
    <t>abnormal_ReadNum</t>
  </si>
  <si>
    <t>product_code</t>
  </si>
  <si>
    <t>chip_code</t>
  </si>
  <si>
    <t>lane_code</t>
  </si>
  <si>
    <t>Q20[95-100](%)</t>
  </si>
  <si>
    <t>Q30[85-100](%)</t>
  </si>
  <si>
    <t>AverageDepth</t>
  </si>
  <si>
    <t>Depth&gt;=30[95-100](%)</t>
  </si>
  <si>
    <t>GC(%)</t>
  </si>
  <si>
    <t>Coverage(%)</t>
  </si>
  <si>
    <t>CaptureEffiency(%)</t>
  </si>
  <si>
    <t>Gender</t>
  </si>
  <si>
    <t>Gender_analysed</t>
  </si>
  <si>
    <t>contamination_rate</t>
  </si>
  <si>
    <t>SMA_QC</t>
  </si>
  <si>
    <t>batQC</t>
  </si>
  <si>
    <t>SampleIDQC</t>
  </si>
  <si>
    <t>ReasonForFailure</t>
  </si>
  <si>
    <t>recommendation</t>
  </si>
  <si>
    <t/>
  </si>
  <si>
    <t>Description for special character in dbSNP(moved to pubmed column):</t>
  </si>
  <si>
    <t>PM</t>
  </si>
  <si>
    <t>Variant is Precious(Clinical,Pubmed Cited)</t>
  </si>
  <si>
    <t>PMC</t>
  </si>
  <si>
    <t>Links exist to PubMed Central article</t>
  </si>
  <si>
    <t>LSD</t>
  </si>
  <si>
    <t>Submitted from a locus-specific database</t>
  </si>
  <si>
    <t>OM</t>
  </si>
  <si>
    <t>Has OMIM/OMIA</t>
  </si>
  <si>
    <t>MUT</t>
  </si>
  <si>
    <t>Is mutation (journal citation, explicit fact): a low frequency variation that is cited in journal and other reputable sources</t>
  </si>
  <si>
    <t>HD</t>
  </si>
  <si>
    <t>Marker is on high density genotyping kit (50K density or greater). The variant may have phenotype associations present in dbGaP</t>
  </si>
  <si>
    <t>CDA</t>
  </si>
  <si>
    <t>Variation is interrogated in a clinical diagnostic assay</t>
  </si>
  <si>
    <t>COMMON</t>
  </si>
  <si>
    <t>RS is a common SNP. A common SNP is one that has at least one 1000Genomes population with a minor allele of frequency &gt;= 1% and for which 2 or more founders contribute to that minor allele frequency</t>
  </si>
  <si>
    <t>分配日期</t>
  </si>
  <si>
    <t>项目</t>
  </si>
  <si>
    <t>收样日期</t>
  </si>
  <si>
    <t>芯片</t>
  </si>
  <si>
    <t>杂交文库号</t>
  </si>
  <si>
    <t>混合文库号</t>
  </si>
  <si>
    <t>报告最后期限</t>
  </si>
  <si>
    <t>flowID</t>
  </si>
  <si>
    <t>样本编号</t>
  </si>
  <si>
    <t>疾病</t>
  </si>
  <si>
    <t>检测基因</t>
  </si>
  <si>
    <t>产品编号</t>
  </si>
  <si>
    <t>是否加急</t>
  </si>
  <si>
    <t>sims备注</t>
  </si>
  <si>
    <t>报告解读</t>
  </si>
  <si>
    <t>报告审核</t>
  </si>
  <si>
    <t>样本编号&amp;产品编码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</si>
</sst>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9E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K35" sqref="K35"/>
    </sheetView>
  </sheetViews>
  <sheetFormatPr defaultColWidth="9" defaultRowHeight="13.5"/>
  <cols>
    <col min="1" max="2" width="10.725" style="1" customWidth="1" outlineLevel="2"/>
    <col min="3" max="3" width="18.725" style="1" customWidth="1"/>
    <col min="4" max="4" width="14.725" style="1" customWidth="1"/>
    <col min="5" max="5" width="5.725" style="1" customWidth="1"/>
    <col min="6" max="6" width="8.725" style="1" customWidth="1"/>
    <col min="7" max="8" width="10.725" style="1" customWidth="1" outlineLevel="1"/>
    <col min="9" max="10" width="8.725" style="1" customWidth="1"/>
    <col min="11" max="11" width="10.725" style="1" customWidth="1"/>
    <col min="12" max="13" width="8.725" style="1" customWidth="1" outlineLevel="1"/>
    <col min="14" max="14" width="10.725" style="1" customWidth="1" outlineLevel="1"/>
    <col min="15" max="18" width="10.725" style="1" customWidth="1" outlineLevel="2"/>
    <col min="19" max="19" width="10.725" style="1" customWidth="1"/>
    <col min="20" max="20" width="15.725" style="1" customWidth="1"/>
    <col min="21" max="21" width="12.725" style="1" customWidth="1"/>
    <col min="22" max="22" width="25.725" style="1" customWidth="1"/>
    <col min="23" max="24" width="8.725" style="1" customWidth="1"/>
    <col min="25" max="25" width="10.725" style="1" customWidth="1"/>
    <col min="26" max="26" width="10.725" style="1" customWidth="1" outlineLevel="2"/>
    <col min="27" max="27" width="20.725" style="1" customWidth="1"/>
    <col min="28" max="28" width="10.725" style="1" customWidth="1" outlineLevel="1"/>
    <col min="29" max="29" width="5.725" style="1" customWidth="1"/>
    <col min="30" max="30" width="10.725" style="1" customWidth="1" outlineLevel="1"/>
    <col min="31" max="32" width="10.725" style="1" customWidth="1" outlineLevel="2"/>
    <col min="33" max="33" width="10.725" style="1" customWidth="1" outlineLevel="1"/>
    <col min="34" max="34" width="15.725" style="1" customWidth="1"/>
    <col min="35" max="35" width="15.725" style="1" customWidth="1" outlineLevel="2"/>
    <col min="36" max="36" width="16.725" style="1" customWidth="1" outlineLevel="2"/>
    <col min="37" max="38" width="10.725" style="1" customWidth="1" outlineLevel="2"/>
    <col min="39" max="39" width="10.725" style="1" customWidth="1"/>
    <col min="40" max="40" width="10.725" style="1" customWidth="1" outlineLevel="1"/>
    <col min="41" max="47" width="10.725" style="1" customWidth="1" outlineLevel="2"/>
    <col min="48" max="48" width="10.725" style="1" customWidth="1"/>
    <col min="49" max="49" width="5.725" style="1" customWidth="1" outlineLevel="1"/>
    <col min="50" max="50" width="12.725" style="1" customWidth="1" outlineLevel="1"/>
    <col min="51" max="51" width="10.725" style="1" customWidth="1" outlineLevel="1"/>
    <col min="52" max="55" width="10.725" style="1" customWidth="1" outlineLevel="2"/>
    <col min="56" max="58" width="10.725" style="1" customWidth="1"/>
    <col min="59" max="61" width="10.725" style="1" customWidth="1" outlineLevel="1"/>
    <col min="62" max="62" width="50.725" style="1" customWidth="1"/>
    <col min="63" max="64" width="10.725" style="1" customWidth="1"/>
    <col min="65" max="65" width="18.725" style="1" customWidth="1"/>
    <col min="66" max="67" width="10.725" style="1" customWidth="1"/>
    <col min="68" max="68" width="15.725" style="1" customWidth="1" outlineLevel="1"/>
    <col min="69" max="69" width="15.725" style="1" customWidth="1"/>
    <col min="70" max="70" width="10.725" style="1" customWidth="1" outlineLevel="1"/>
    <col min="71" max="72" width="15.725" style="1" customWidth="1" outlineLevel="1"/>
    <col min="73" max="73" width="15.725" style="1" customWidth="1"/>
    <col min="74" max="74" width="20.725" style="1" customWidth="1" outlineLevel="1"/>
    <col min="75" max="78" width="10.725" style="1" customWidth="1"/>
    <col min="79" max="79" width="12.725" style="1" customWidth="1"/>
    <col min="80" max="80" width="14.725" style="1" customWidth="1"/>
    <col min="81" max="81" width="10.725" style="1" customWidth="1"/>
    <col min="82" max="82" width="12.725" style="1" customWidth="1"/>
    <col min="83" max="85" width="10.725" style="1" customWidth="1"/>
    <col min="86" max="86" width="16.725" style="1" customWidth="1"/>
    <col min="87" max="87" width="20.725" style="1" customWidth="1"/>
    <col min="88" max="89" width="12.725" style="1" customWidth="1"/>
    <col min="90" max="91" width="10.725" style="1" customWidth="1"/>
    <col min="92" max="92" width="45.725" style="1" customWidth="1"/>
    <col min="94" max="94" width="13.3666666666667" customWidth="1"/>
  </cols>
  <sheetData>
    <row r="1" spans="1:9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7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J28" sqref="J28"/>
    </sheetView>
  </sheetViews>
  <sheetFormatPr defaultColWidth="9" defaultRowHeight="13.5"/>
  <cols>
    <col min="1" max="2" width="12.725" style="1" customWidth="1" outlineLevel="1"/>
    <col min="3" max="3" width="18.725" style="1" customWidth="1"/>
    <col min="4" max="4" width="12.725" style="1" customWidth="1"/>
    <col min="5" max="6" width="8.725" style="1" customWidth="1"/>
    <col min="7" max="7" width="10.725" style="1" customWidth="1"/>
    <col min="8" max="8" width="12.725" style="1" customWidth="1"/>
    <col min="9" max="10" width="8.725" style="1" customWidth="1"/>
    <col min="11" max="12" width="10.725" style="1" customWidth="1"/>
    <col min="13" max="14" width="8.725" style="1" customWidth="1"/>
    <col min="15" max="15" width="10.725" style="1" customWidth="1" outlineLevel="1"/>
    <col min="16" max="16" width="8.725" style="1" customWidth="1"/>
    <col min="17" max="17" width="10.725" style="1" customWidth="1"/>
    <col min="18" max="28" width="12.725" style="1" customWidth="1" outlineLevel="1"/>
    <col min="29" max="36" width="10.725" style="1" customWidth="1"/>
    <col min="37" max="37" width="15.725" style="1" customWidth="1"/>
    <col min="38" max="38" width="15.725" style="1" customWidth="1" outlineLevel="1"/>
    <col min="39" max="39" width="15.725" style="1" customWidth="1"/>
    <col min="40" max="40" width="10.725" style="1" customWidth="1"/>
    <col min="41" max="41" width="15.725" style="1" customWidth="1" outlineLevel="1"/>
    <col min="42" max="42" width="15.725" style="1" customWidth="1"/>
    <col min="43" max="43" width="10.725" style="1" customWidth="1"/>
  </cols>
  <sheetData>
    <row r="1" spans="1:46">
      <c r="A1" s="3" t="s">
        <v>0</v>
      </c>
      <c r="B1" s="3" t="s">
        <v>1</v>
      </c>
      <c r="C1" s="3" t="s">
        <v>2</v>
      </c>
      <c r="D1" s="3" t="s">
        <v>3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3" t="s">
        <v>104</v>
      </c>
      <c r="L1" s="3" t="s">
        <v>105</v>
      </c>
      <c r="M1" s="3" t="s">
        <v>106</v>
      </c>
      <c r="N1" s="3" t="s">
        <v>107</v>
      </c>
      <c r="O1" s="3" t="s">
        <v>108</v>
      </c>
      <c r="P1" s="3" t="s">
        <v>109</v>
      </c>
      <c r="Q1" s="3" t="s">
        <v>110</v>
      </c>
      <c r="R1" s="3" t="s">
        <v>111</v>
      </c>
      <c r="S1" s="3" t="s">
        <v>112</v>
      </c>
      <c r="T1" s="3" t="s">
        <v>113</v>
      </c>
      <c r="U1" s="3" t="s">
        <v>114</v>
      </c>
      <c r="V1" s="3" t="s">
        <v>115</v>
      </c>
      <c r="W1" s="3" t="s">
        <v>116</v>
      </c>
      <c r="X1" s="3" t="s">
        <v>117</v>
      </c>
      <c r="Y1" s="3" t="s">
        <v>118</v>
      </c>
      <c r="Z1" s="3" t="s">
        <v>119</v>
      </c>
      <c r="AA1" s="3" t="s">
        <v>120</v>
      </c>
      <c r="AB1" s="3" t="s">
        <v>121</v>
      </c>
      <c r="AC1" s="3" t="s">
        <v>74</v>
      </c>
      <c r="AD1" s="3" t="s">
        <v>76</v>
      </c>
      <c r="AE1" s="3" t="s">
        <v>62</v>
      </c>
      <c r="AF1" s="3" t="s">
        <v>57</v>
      </c>
      <c r="AG1" s="3" t="s">
        <v>122</v>
      </c>
      <c r="AH1" s="3" t="s">
        <v>123</v>
      </c>
      <c r="AI1" s="3" t="s">
        <v>124</v>
      </c>
      <c r="AJ1" s="3" t="s">
        <v>64</v>
      </c>
      <c r="AK1" s="3" t="s">
        <v>125</v>
      </c>
      <c r="AL1" s="3" t="s">
        <v>126</v>
      </c>
      <c r="AM1" s="3" t="s">
        <v>127</v>
      </c>
      <c r="AN1" s="3" t="s">
        <v>128</v>
      </c>
      <c r="AO1" s="3" t="s">
        <v>129</v>
      </c>
      <c r="AP1" s="3" t="s">
        <v>130</v>
      </c>
      <c r="AQ1" s="3" t="s">
        <v>131</v>
      </c>
      <c r="AR1" s="3" t="s">
        <v>75</v>
      </c>
      <c r="AS1" s="3" t="s">
        <v>77</v>
      </c>
      <c r="AT1" s="3" t="s">
        <v>132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C32" sqref="C32"/>
    </sheetView>
  </sheetViews>
  <sheetFormatPr defaultColWidth="9" defaultRowHeight="13.5"/>
  <cols>
    <col min="1" max="1" width="19" customWidth="1"/>
    <col min="2" max="2" width="13.5416666666667" customWidth="1"/>
    <col min="3" max="3" width="44" customWidth="1"/>
    <col min="4" max="4" width="13.725" customWidth="1"/>
    <col min="5" max="5" width="10.8166666666667" customWidth="1"/>
    <col min="6" max="6" width="11.8166666666667" customWidth="1"/>
    <col min="7" max="7" width="15.9083333333333" customWidth="1"/>
    <col min="8" max="8" width="20.1833333333333" customWidth="1"/>
    <col min="9" max="9" width="24.45" customWidth="1"/>
    <col min="10" max="10" width="13" customWidth="1"/>
    <col min="11" max="11" width="15.45" customWidth="1"/>
    <col min="12" max="12" width="15.6333333333333" customWidth="1"/>
    <col min="13" max="13" width="21.3666666666667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133</v>
      </c>
      <c r="F1" s="4" t="s">
        <v>134</v>
      </c>
      <c r="G1" s="5" t="s">
        <v>135</v>
      </c>
      <c r="H1" s="6" t="s">
        <v>136</v>
      </c>
      <c r="I1" s="6" t="s">
        <v>137</v>
      </c>
      <c r="J1" s="6" t="s">
        <v>138</v>
      </c>
      <c r="K1" s="6" t="s">
        <v>132</v>
      </c>
      <c r="L1" s="6" t="s">
        <v>139</v>
      </c>
      <c r="M1" s="6" t="s">
        <v>140</v>
      </c>
      <c r="N1" s="6" t="s">
        <v>141</v>
      </c>
      <c r="O1" s="6" t="s">
        <v>123</v>
      </c>
      <c r="P1" s="6" t="s">
        <v>61</v>
      </c>
      <c r="Q1" s="6" t="s">
        <v>103</v>
      </c>
      <c r="R1" s="6" t="s">
        <v>20</v>
      </c>
      <c r="S1" s="6" t="s">
        <v>142</v>
      </c>
      <c r="T1" s="4" t="s">
        <v>74</v>
      </c>
      <c r="U1" s="4" t="s">
        <v>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workbookViewId="0">
      <pane ySplit="1" topLeftCell="A2" activePane="bottomLeft" state="frozen"/>
      <selection/>
      <selection pane="bottomLeft" activeCell="N37" sqref="N37"/>
    </sheetView>
  </sheetViews>
  <sheetFormatPr defaultColWidth="9" defaultRowHeight="13.5"/>
  <cols>
    <col min="1" max="1" width="14.5" style="1" customWidth="1"/>
    <col min="2" max="2" width="18.875" style="1" customWidth="1"/>
    <col min="3" max="3" width="15.5" style="1" customWidth="1"/>
    <col min="4" max="4" width="17.125" style="1" customWidth="1"/>
    <col min="5" max="5" width="19.125" style="1" customWidth="1"/>
    <col min="6" max="6" width="18.5" style="1" customWidth="1"/>
    <col min="7" max="7" width="16" style="1" customWidth="1"/>
    <col min="8" max="8" width="24.25" style="1" customWidth="1"/>
    <col min="9" max="9" width="10.725" style="1" customWidth="1"/>
    <col min="10" max="10" width="14.375" style="1" customWidth="1"/>
    <col min="11" max="11" width="22.125" style="1" customWidth="1"/>
    <col min="12" max="12" width="10.725" style="1" customWidth="1"/>
    <col min="13" max="13" width="18.375" customWidth="1"/>
    <col min="14" max="14" width="23.125" customWidth="1"/>
    <col min="18" max="18" width="12.125" customWidth="1"/>
    <col min="19" max="19" width="19.875" customWidth="1"/>
    <col min="20" max="20" width="17.375" customWidth="1"/>
  </cols>
  <sheetData>
    <row r="1" spans="1:24">
      <c r="A1" s="3" t="s">
        <v>3</v>
      </c>
      <c r="B1" s="3" t="s">
        <v>143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  <c r="M1" s="3" t="s">
        <v>154</v>
      </c>
      <c r="N1" s="3" t="s">
        <v>155</v>
      </c>
      <c r="O1" s="3" t="s">
        <v>156</v>
      </c>
      <c r="P1" s="3" t="s">
        <v>157</v>
      </c>
      <c r="Q1" s="3" t="s">
        <v>134</v>
      </c>
      <c r="R1" s="3" t="s">
        <v>158</v>
      </c>
      <c r="S1" s="3" t="s">
        <v>159</v>
      </c>
      <c r="T1" s="3" t="s">
        <v>160</v>
      </c>
      <c r="U1" s="3" t="s">
        <v>74</v>
      </c>
      <c r="V1" s="3" t="s">
        <v>76</v>
      </c>
      <c r="W1" s="3" t="s">
        <v>75</v>
      </c>
      <c r="X1" s="3" t="s">
        <v>77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    <row r="1" spans="1:1">
      <c r="A1" t="s">
        <v>161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0" sqref="$A10:$XFD30"/>
    </sheetView>
  </sheetViews>
  <sheetFormatPr defaultColWidth="9" defaultRowHeight="13.5" outlineLevelCol="1"/>
  <cols>
    <col min="1" max="1" width="32.2666666666667" customWidth="1"/>
    <col min="2" max="2" width="56.2666666666667" customWidth="1"/>
  </cols>
  <sheetData>
    <row r="1" spans="1:1">
      <c r="A1" t="s">
        <v>162</v>
      </c>
    </row>
    <row r="2" spans="1:2">
      <c r="A2" t="s">
        <v>163</v>
      </c>
      <c r="B2" t="s">
        <v>164</v>
      </c>
    </row>
    <row r="3" spans="1:2">
      <c r="A3" t="s">
        <v>165</v>
      </c>
      <c r="B3" t="s">
        <v>166</v>
      </c>
    </row>
    <row r="4" spans="1:2">
      <c r="A4" t="s">
        <v>167</v>
      </c>
      <c r="B4" t="s">
        <v>168</v>
      </c>
    </row>
    <row r="5" spans="1:2">
      <c r="A5" t="s">
        <v>169</v>
      </c>
      <c r="B5" t="s">
        <v>170</v>
      </c>
    </row>
    <row r="6" spans="1:2">
      <c r="A6" t="s">
        <v>171</v>
      </c>
      <c r="B6" t="s">
        <v>172</v>
      </c>
    </row>
    <row r="7" spans="1:2">
      <c r="A7" t="s">
        <v>173</v>
      </c>
      <c r="B7" t="s">
        <v>174</v>
      </c>
    </row>
    <row r="8" spans="1:2">
      <c r="A8" t="s">
        <v>175</v>
      </c>
      <c r="B8" t="s">
        <v>176</v>
      </c>
    </row>
    <row r="9" spans="1:2">
      <c r="A9" t="s">
        <v>177</v>
      </c>
      <c r="B9" t="s">
        <v>178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34" sqref="G34"/>
    </sheetView>
  </sheetViews>
  <sheetFormatPr defaultColWidth="9" defaultRowHeight="13.5"/>
  <cols>
    <col min="1" max="1" width="15.725" style="1" customWidth="1"/>
    <col min="2" max="2" width="10.725" style="1" customWidth="1"/>
    <col min="3" max="3" width="15.725" style="1" customWidth="1"/>
    <col min="4" max="4" width="10.725" style="1" customWidth="1"/>
    <col min="5" max="6" width="12.725" style="1" customWidth="1"/>
    <col min="7" max="8" width="15.725" style="1" customWidth="1"/>
    <col min="9" max="11" width="12.725" style="1" customWidth="1"/>
    <col min="12" max="18" width="10.725" style="1" customWidth="1"/>
  </cols>
  <sheetData>
    <row r="1" spans="1:18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194</v>
      </c>
      <c r="Q1" s="2" t="s">
        <v>62</v>
      </c>
      <c r="R1" s="2" t="s">
        <v>195</v>
      </c>
    </row>
    <row r="2" spans="18:18">
      <c r="R2" s="1" t="str">
        <f t="shared" ref="R2:R33" si="0">I2&amp;L2</f>
        <v/>
      </c>
    </row>
    <row r="3" spans="18:18">
      <c r="R3" s="1" t="str">
        <f t="shared" si="0"/>
        <v/>
      </c>
    </row>
    <row r="4" spans="18:18">
      <c r="R4" s="1" t="str">
        <f t="shared" si="0"/>
        <v/>
      </c>
    </row>
    <row r="5" spans="18:18">
      <c r="R5" s="1" t="str">
        <f t="shared" si="0"/>
        <v/>
      </c>
    </row>
    <row r="6" spans="18:18">
      <c r="R6" s="1" t="str">
        <f t="shared" si="0"/>
        <v/>
      </c>
    </row>
    <row r="7" spans="18:18">
      <c r="R7" s="1" t="str">
        <f t="shared" si="0"/>
        <v/>
      </c>
    </row>
    <row r="8" spans="18:18">
      <c r="R8" s="1" t="str">
        <f t="shared" si="0"/>
        <v/>
      </c>
    </row>
    <row r="9" spans="18:18">
      <c r="R9" s="1" t="str">
        <f t="shared" si="0"/>
        <v/>
      </c>
    </row>
    <row r="10" spans="18:18">
      <c r="R10" s="1" t="str">
        <f t="shared" si="0"/>
        <v/>
      </c>
    </row>
    <row r="11" spans="18:18">
      <c r="R11" s="1" t="str">
        <f t="shared" si="0"/>
        <v/>
      </c>
    </row>
    <row r="12" spans="18:18">
      <c r="R12" s="1" t="str">
        <f t="shared" si="0"/>
        <v/>
      </c>
    </row>
    <row r="13" spans="18:18">
      <c r="R13" s="1" t="str">
        <f t="shared" si="0"/>
        <v/>
      </c>
    </row>
    <row r="14" spans="18:18">
      <c r="R14" s="1" t="str">
        <f t="shared" si="0"/>
        <v/>
      </c>
    </row>
    <row r="15" spans="18:18">
      <c r="R15" s="1" t="str">
        <f t="shared" si="0"/>
        <v/>
      </c>
    </row>
    <row r="16" spans="18:18">
      <c r="R16" s="1" t="str">
        <f t="shared" si="0"/>
        <v/>
      </c>
    </row>
    <row r="17" spans="18:18">
      <c r="R17" s="1" t="str">
        <f t="shared" si="0"/>
        <v/>
      </c>
    </row>
    <row r="18" spans="18:18">
      <c r="R18" s="1" t="str">
        <f t="shared" si="0"/>
        <v/>
      </c>
    </row>
    <row r="19" spans="18:18">
      <c r="R19" s="1" t="str">
        <f t="shared" si="0"/>
        <v/>
      </c>
    </row>
    <row r="20" spans="18:18">
      <c r="R20" s="1" t="str">
        <f t="shared" si="0"/>
        <v/>
      </c>
    </row>
    <row r="21" spans="18:18">
      <c r="R21" s="1" t="str">
        <f t="shared" si="0"/>
        <v/>
      </c>
    </row>
    <row r="22" spans="18:18">
      <c r="R22" s="1" t="str">
        <f t="shared" si="0"/>
        <v/>
      </c>
    </row>
    <row r="23" spans="18:18">
      <c r="R23" s="1" t="str">
        <f t="shared" si="0"/>
        <v/>
      </c>
    </row>
    <row r="24" spans="18:18">
      <c r="R24" s="1" t="str">
        <f t="shared" si="0"/>
        <v/>
      </c>
    </row>
    <row r="25" spans="18:18">
      <c r="R25" s="1" t="str">
        <f t="shared" si="0"/>
        <v/>
      </c>
    </row>
    <row r="26" spans="18:18">
      <c r="R26" s="1" t="str">
        <f t="shared" si="0"/>
        <v/>
      </c>
    </row>
    <row r="27" spans="18:18">
      <c r="R27" s="1" t="str">
        <f t="shared" si="0"/>
        <v/>
      </c>
    </row>
    <row r="28" spans="18:18">
      <c r="R28" s="1" t="str">
        <f t="shared" si="0"/>
        <v/>
      </c>
    </row>
    <row r="29" spans="18:18">
      <c r="R29" s="1" t="str">
        <f t="shared" si="0"/>
        <v/>
      </c>
    </row>
    <row r="30" spans="18:18">
      <c r="R30" s="1" t="str">
        <f t="shared" si="0"/>
        <v/>
      </c>
    </row>
    <row r="31" spans="18:18">
      <c r="R31" s="1" t="str">
        <f t="shared" si="0"/>
        <v/>
      </c>
    </row>
    <row r="32" spans="18:18">
      <c r="R32" s="1" t="str">
        <f t="shared" si="0"/>
        <v/>
      </c>
    </row>
    <row r="33" spans="18:18">
      <c r="R33" s="1" t="str">
        <f t="shared" si="0"/>
        <v/>
      </c>
    </row>
    <row r="34" spans="18:18">
      <c r="R34" s="1" t="str">
        <f t="shared" ref="R34:R65" si="1">I34&amp;L34</f>
        <v/>
      </c>
    </row>
    <row r="35" spans="18:18">
      <c r="R35" s="1" t="str">
        <f t="shared" si="1"/>
        <v/>
      </c>
    </row>
    <row r="36" spans="18:18">
      <c r="R36" s="1" t="str">
        <f t="shared" si="1"/>
        <v/>
      </c>
    </row>
    <row r="37" spans="18:18">
      <c r="R37" s="1" t="str">
        <f t="shared" si="1"/>
        <v/>
      </c>
    </row>
    <row r="38" spans="18:18">
      <c r="R38" s="1" t="str">
        <f t="shared" si="1"/>
        <v/>
      </c>
    </row>
    <row r="39" spans="18:18">
      <c r="R39" s="1" t="str">
        <f t="shared" si="1"/>
        <v/>
      </c>
    </row>
    <row r="40" spans="18:18">
      <c r="R40" s="1" t="str">
        <f t="shared" si="1"/>
        <v/>
      </c>
    </row>
    <row r="41" spans="18:18">
      <c r="R41" s="1" t="str">
        <f t="shared" si="1"/>
        <v/>
      </c>
    </row>
    <row r="42" spans="18:18">
      <c r="R42" s="1" t="str">
        <f t="shared" si="1"/>
        <v/>
      </c>
    </row>
    <row r="43" spans="18:18">
      <c r="R43" s="1" t="str">
        <f t="shared" si="1"/>
        <v/>
      </c>
    </row>
    <row r="44" spans="18:18">
      <c r="R44" s="1" t="str">
        <f t="shared" si="1"/>
        <v/>
      </c>
    </row>
    <row r="45" spans="18:18">
      <c r="R45" s="1" t="str">
        <f t="shared" si="1"/>
        <v/>
      </c>
    </row>
    <row r="46" spans="18:18">
      <c r="R46" s="1" t="str">
        <f t="shared" si="1"/>
        <v/>
      </c>
    </row>
    <row r="47" spans="18:18">
      <c r="R47" s="1" t="str">
        <f t="shared" si="1"/>
        <v/>
      </c>
    </row>
    <row r="48" spans="18:18">
      <c r="R48" s="1" t="str">
        <f t="shared" si="1"/>
        <v/>
      </c>
    </row>
    <row r="49" spans="18:18">
      <c r="R49" s="1" t="str">
        <f t="shared" si="1"/>
        <v/>
      </c>
    </row>
    <row r="50" spans="18:18">
      <c r="R50" s="1" t="str">
        <f t="shared" si="1"/>
        <v/>
      </c>
    </row>
    <row r="51" spans="18:18">
      <c r="R51" s="1" t="str">
        <f t="shared" si="1"/>
        <v/>
      </c>
    </row>
    <row r="52" spans="18:18">
      <c r="R52" s="1" t="str">
        <f t="shared" si="1"/>
        <v/>
      </c>
    </row>
    <row r="53" spans="18:18">
      <c r="R53" s="1" t="str">
        <f t="shared" si="1"/>
        <v/>
      </c>
    </row>
    <row r="54" spans="18:18">
      <c r="R54" s="1" t="str">
        <f t="shared" si="1"/>
        <v/>
      </c>
    </row>
    <row r="55" spans="18:18">
      <c r="R55" s="1" t="str">
        <f t="shared" si="1"/>
        <v/>
      </c>
    </row>
    <row r="56" spans="18:18">
      <c r="R56" s="1" t="str">
        <f t="shared" si="1"/>
        <v/>
      </c>
    </row>
    <row r="57" spans="18:18">
      <c r="R57" s="1" t="str">
        <f t="shared" si="1"/>
        <v/>
      </c>
    </row>
    <row r="58" spans="18:18">
      <c r="R58" s="1" t="str">
        <f t="shared" si="1"/>
        <v/>
      </c>
    </row>
    <row r="59" spans="18:18">
      <c r="R59" s="1" t="str">
        <f t="shared" si="1"/>
        <v/>
      </c>
    </row>
    <row r="60" spans="18:18">
      <c r="R60" s="1" t="str">
        <f t="shared" si="1"/>
        <v/>
      </c>
    </row>
    <row r="61" spans="18:18">
      <c r="R61" s="1" t="str">
        <f t="shared" si="1"/>
        <v/>
      </c>
    </row>
    <row r="62" spans="18:18">
      <c r="R62" s="1" t="str">
        <f t="shared" si="1"/>
        <v/>
      </c>
    </row>
    <row r="63" spans="18:18">
      <c r="R63" s="1" t="str">
        <f t="shared" si="1"/>
        <v/>
      </c>
    </row>
    <row r="64" spans="18:18">
      <c r="R64" s="1" t="str">
        <f t="shared" si="1"/>
        <v/>
      </c>
    </row>
    <row r="65" spans="18:18">
      <c r="R65" s="1" t="str">
        <f t="shared" si="1"/>
        <v/>
      </c>
    </row>
    <row r="66" spans="18:18">
      <c r="R66" s="1" t="str">
        <f t="shared" ref="R66:R100" si="2">I66&amp;L66</f>
        <v/>
      </c>
    </row>
    <row r="67" spans="18:18">
      <c r="R67" s="1" t="str">
        <f t="shared" si="2"/>
        <v/>
      </c>
    </row>
    <row r="68" spans="18:18">
      <c r="R68" s="1" t="str">
        <f t="shared" si="2"/>
        <v/>
      </c>
    </row>
    <row r="69" spans="18:18">
      <c r="R69" s="1" t="str">
        <f t="shared" si="2"/>
        <v/>
      </c>
    </row>
    <row r="70" spans="18:18">
      <c r="R70" s="1" t="str">
        <f t="shared" si="2"/>
        <v/>
      </c>
    </row>
    <row r="71" spans="18:18">
      <c r="R71" s="1" t="str">
        <f t="shared" si="2"/>
        <v/>
      </c>
    </row>
    <row r="72" spans="18:18">
      <c r="R72" s="1" t="str">
        <f t="shared" si="2"/>
        <v/>
      </c>
    </row>
    <row r="73" spans="18:18">
      <c r="R73" s="1" t="str">
        <f t="shared" si="2"/>
        <v/>
      </c>
    </row>
    <row r="74" spans="18:18">
      <c r="R74" s="1" t="str">
        <f t="shared" si="2"/>
        <v/>
      </c>
    </row>
    <row r="75" spans="18:18">
      <c r="R75" s="1" t="str">
        <f t="shared" si="2"/>
        <v/>
      </c>
    </row>
    <row r="76" spans="18:18">
      <c r="R76" s="1" t="str">
        <f t="shared" si="2"/>
        <v/>
      </c>
    </row>
    <row r="77" spans="18:18">
      <c r="R77" s="1" t="str">
        <f t="shared" si="2"/>
        <v/>
      </c>
    </row>
    <row r="78" spans="18:18">
      <c r="R78" s="1" t="str">
        <f t="shared" si="2"/>
        <v/>
      </c>
    </row>
    <row r="79" spans="18:18">
      <c r="R79" s="1" t="str">
        <f t="shared" si="2"/>
        <v/>
      </c>
    </row>
    <row r="80" spans="18:18">
      <c r="R80" s="1" t="str">
        <f t="shared" si="2"/>
        <v/>
      </c>
    </row>
    <row r="81" spans="18:18">
      <c r="R81" s="1" t="str">
        <f t="shared" si="2"/>
        <v/>
      </c>
    </row>
    <row r="82" spans="18:18">
      <c r="R82" s="1" t="str">
        <f t="shared" si="2"/>
        <v/>
      </c>
    </row>
    <row r="83" spans="18:18">
      <c r="R83" s="1" t="str">
        <f t="shared" si="2"/>
        <v/>
      </c>
    </row>
    <row r="84" spans="18:18">
      <c r="R84" s="1" t="str">
        <f t="shared" si="2"/>
        <v/>
      </c>
    </row>
    <row r="85" spans="18:18">
      <c r="R85" s="1" t="str">
        <f t="shared" si="2"/>
        <v/>
      </c>
    </row>
    <row r="86" spans="18:18">
      <c r="R86" s="1" t="str">
        <f t="shared" si="2"/>
        <v/>
      </c>
    </row>
    <row r="87" spans="18:18">
      <c r="R87" s="1" t="str">
        <f t="shared" si="2"/>
        <v/>
      </c>
    </row>
    <row r="88" spans="18:18">
      <c r="R88" s="1" t="str">
        <f t="shared" si="2"/>
        <v/>
      </c>
    </row>
    <row r="89" spans="18:18">
      <c r="R89" s="1" t="str">
        <f t="shared" si="2"/>
        <v/>
      </c>
    </row>
    <row r="90" spans="18:18">
      <c r="R90" s="1" t="str">
        <f t="shared" si="2"/>
        <v/>
      </c>
    </row>
    <row r="91" spans="18:18">
      <c r="R91" s="1" t="str">
        <f t="shared" si="2"/>
        <v/>
      </c>
    </row>
    <row r="92" spans="18:18">
      <c r="R92" s="1" t="str">
        <f t="shared" si="2"/>
        <v/>
      </c>
    </row>
    <row r="93" spans="18:18">
      <c r="R93" s="1" t="str">
        <f t="shared" si="2"/>
        <v/>
      </c>
    </row>
    <row r="94" spans="18:18">
      <c r="R94" s="1" t="str">
        <f t="shared" si="2"/>
        <v/>
      </c>
    </row>
    <row r="95" spans="18:18">
      <c r="R95" s="1" t="str">
        <f t="shared" si="2"/>
        <v/>
      </c>
    </row>
    <row r="96" spans="18:18">
      <c r="R96" s="1" t="str">
        <f t="shared" si="2"/>
        <v/>
      </c>
    </row>
    <row r="97" spans="18:18">
      <c r="R97" s="1" t="str">
        <f t="shared" si="2"/>
        <v/>
      </c>
    </row>
    <row r="98" spans="18:18">
      <c r="R98" s="1" t="str">
        <f t="shared" si="2"/>
        <v/>
      </c>
    </row>
    <row r="99" spans="18:18">
      <c r="R99" s="1" t="str">
        <f t="shared" si="2"/>
        <v/>
      </c>
    </row>
    <row r="100" spans="18:18">
      <c r="R100" s="1" t="str">
        <f t="shared" si="2"/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 variants data</vt:lpstr>
      <vt:lpstr>CNV</vt:lpstr>
      <vt:lpstr>补充实验</vt:lpstr>
      <vt:lpstr>QC</vt:lpstr>
      <vt:lpstr>样本信息</vt:lpstr>
      <vt:lpstr>bam文件路径</vt:lpstr>
      <vt:lpstr>任务单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fangzhonghai</cp:lastModifiedBy>
  <dcterms:created xsi:type="dcterms:W3CDTF">2023-04-23T19:07:00Z</dcterms:created>
  <dcterms:modified xsi:type="dcterms:W3CDTF">2023-08-30T07:57:49Z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79B0D88A14844F36BCA881317D6332A3_13</vt:lpwstr>
  </property>
</Properties>
</file>